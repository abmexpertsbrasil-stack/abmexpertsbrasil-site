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4"/>
  </sheets>
  <definedNames/>
  <calcPr/>
  <extLst>
    <ext uri="GoogleSheetsCustomDataVersion2">
      <go:sheetsCustomData xmlns:go="http://customooxmlschemas.google.com/" r:id="rId5" roundtripDataChecksum="w6cSCBA4NW8jfvs2ndazxJXArzQdnKb4a4ZYIpX5krw="/>
    </ext>
  </extLst>
</workbook>
</file>

<file path=xl/sharedStrings.xml><?xml version="1.0" encoding="utf-8"?>
<sst xmlns="http://schemas.openxmlformats.org/spreadsheetml/2006/main" count="70" uniqueCount="47">
  <si>
    <t>Scorização de Análise de Concorrência</t>
  </si>
  <si>
    <t>1°</t>
  </si>
  <si>
    <t>Primeiro Passo - Defina o peso dos parâmetros a serem analisados</t>
  </si>
  <si>
    <t>Definição de Pesos</t>
  </si>
  <si>
    <t>Peso</t>
  </si>
  <si>
    <t>Posicionamento</t>
  </si>
  <si>
    <t>Público e Segmento Alvo</t>
  </si>
  <si>
    <t>Produtos e Serviços Oferecidos</t>
  </si>
  <si>
    <t>Precificação e Monetização</t>
  </si>
  <si>
    <t>Aquisição e Marketing</t>
  </si>
  <si>
    <t>Força da Marca e Reputação</t>
  </si>
  <si>
    <t>Tecnologias e Ferramentas</t>
  </si>
  <si>
    <t>Ecossistema e Composição</t>
  </si>
  <si>
    <t>Legenda para definir peso dos critérios</t>
  </si>
  <si>
    <t>1 - Nenhuma interferência no negócio</t>
  </si>
  <si>
    <t>2 - Pouca interferênca no negócio</t>
  </si>
  <si>
    <t>3 - Pode interferir no negócio</t>
  </si>
  <si>
    <t>4 - Interfere no negócio</t>
  </si>
  <si>
    <t>5 - Muita interferência no negócio</t>
  </si>
  <si>
    <t>2°</t>
  </si>
  <si>
    <t>Segundo passo: Defina o Market Share</t>
  </si>
  <si>
    <t>Definição de Market Share</t>
  </si>
  <si>
    <t>Faturamento Individual</t>
  </si>
  <si>
    <t>Faturamento Mercado</t>
  </si>
  <si>
    <t>Market Share</t>
  </si>
  <si>
    <t>Minha Empresa</t>
  </si>
  <si>
    <t>Concorrente A</t>
  </si>
  <si>
    <t>Concorrente B</t>
  </si>
  <si>
    <t>Concorrente C</t>
  </si>
  <si>
    <t>Concorrente D</t>
  </si>
  <si>
    <t>Concorrente E</t>
  </si>
  <si>
    <t>Insira o faturamento de cada empresa</t>
  </si>
  <si>
    <t>Soma dos faturamentos compôem o mercado</t>
  </si>
  <si>
    <t>Market Share do mercado acessado</t>
  </si>
  <si>
    <t>3°</t>
  </si>
  <si>
    <t>Avalie o mercado nos critérios abaixo</t>
  </si>
  <si>
    <t>Avaliação</t>
  </si>
  <si>
    <t>Pontuação final</t>
  </si>
  <si>
    <t>1 - Inferior ao meu negócio</t>
  </si>
  <si>
    <t>3 - Equivalente ao meu negócio</t>
  </si>
  <si>
    <t>5 - Superior ao meu negócio</t>
  </si>
  <si>
    <t>4°</t>
  </si>
  <si>
    <t>Visualização Gráfica</t>
  </si>
  <si>
    <t>Organização de Dados</t>
  </si>
  <si>
    <t>Mapa de Concorrência</t>
  </si>
  <si>
    <t>Avaliação Geral</t>
  </si>
  <si>
    <t>Soma pontuação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</si>
</sst>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3">
    <font>
      <sz val="10.0"/>
      <color rgb="FF000000"/>
      <name val="Arial"/>
      <scheme val="minor"/>
    </font>
    <font>
      <b/>
      <sz val="36.0"/>
      <color theme="1"/>
      <name val="Poppins"/>
    </font>
    <font>
      <b/>
      <sz val="42.0"/>
      <color rgb="FF42BA6C"/>
      <name val="Poppins"/>
    </font>
    <font>
      <b/>
      <sz val="21.0"/>
      <color theme="1"/>
      <name val="Poppins"/>
    </font>
    <font/>
    <font>
      <b/>
      <sz val="9.0"/>
      <color theme="1"/>
      <name val="Poppins"/>
    </font>
    <font>
      <b/>
      <color theme="1"/>
      <name val="Arial"/>
    </font>
    <font>
      <sz val="9.0"/>
      <color theme="1"/>
      <name val="Poppins"/>
    </font>
    <font>
      <color theme="1"/>
      <name val="Arial"/>
    </font>
    <font>
      <b/>
      <color theme="1"/>
      <name val="Poppins"/>
    </font>
    <font>
      <color theme="1"/>
      <name val="Poppins"/>
    </font>
    <font>
      <color theme="1"/>
      <name val="Arial"/>
      <scheme val="minor"/>
    </font>
    <font>
      <b/>
      <sz val="24.0"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42BA6C"/>
        <bgColor rgb="FF42BA6C"/>
      </patternFill>
    </fill>
  </fills>
  <borders count="14">
    <border/>
    <border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328C51"/>
      </left>
      <right style="thin">
        <color rgb="FF42BA6C"/>
      </right>
      <top style="thin">
        <color rgb="FF328C51"/>
      </top>
      <bottom style="thin">
        <color rgb="FF328C51"/>
      </bottom>
    </border>
    <border>
      <left style="thin">
        <color rgb="FF42BA6C"/>
      </left>
      <right style="thin">
        <color rgb="FF42BA6C"/>
      </right>
      <top style="thin">
        <color rgb="FF328C51"/>
      </top>
      <bottom style="thin">
        <color rgb="FF328C51"/>
      </bottom>
    </border>
    <border>
      <left style="thin">
        <color rgb="FF42BA6C"/>
      </left>
      <right style="thin">
        <color rgb="FF328C51"/>
      </right>
      <top style="thin">
        <color rgb="FF328C51"/>
      </top>
      <bottom style="thin">
        <color rgb="FF328C51"/>
      </bottom>
    </border>
    <border>
      <left style="thin">
        <color rgb="FF328C5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28C51"/>
      </right>
      <top style="thin">
        <color rgb="FFFFFFFF"/>
      </top>
      <bottom style="thin">
        <color rgb="FFFFFFFF"/>
      </bottom>
    </border>
    <border>
      <left style="thin">
        <color rgb="FF328C51"/>
      </left>
      <right style="thin">
        <color rgb="FFFFFFFF"/>
      </right>
      <top style="thin">
        <color rgb="FFFFFFFF"/>
      </top>
      <bottom style="thin">
        <color rgb="FF328C5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28C51"/>
      </bottom>
    </border>
    <border>
      <left style="thin">
        <color rgb="FFFFFFFF"/>
      </left>
      <right style="thin">
        <color rgb="FF328C51"/>
      </right>
      <top style="thin">
        <color rgb="FFFFFFFF"/>
      </top>
      <bottom style="thin">
        <color rgb="FF328C51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left" vertical="center"/>
    </xf>
    <xf borderId="1" fillId="0" fontId="4" numFmtId="0" xfId="0" applyBorder="1" applyFont="1"/>
    <xf borderId="2" fillId="0" fontId="5" numFmtId="0" xfId="0" applyBorder="1" applyFont="1"/>
    <xf borderId="2" fillId="0" fontId="6" numFmtId="0" xfId="0" applyBorder="1" applyFont="1"/>
    <xf borderId="2" fillId="0" fontId="7" numFmtId="0" xfId="0" applyBorder="1" applyFont="1"/>
    <xf borderId="2" fillId="0" fontId="8" numFmtId="0" xfId="0" applyBorder="1" applyFont="1"/>
    <xf borderId="3" fillId="0" fontId="9" numFmtId="0" xfId="0" applyBorder="1" applyFont="1"/>
    <xf borderId="4" fillId="0" fontId="4" numFmtId="0" xfId="0" applyBorder="1" applyFont="1"/>
    <xf borderId="3" fillId="0" fontId="10" numFmtId="0" xfId="0" applyBorder="1" applyFont="1"/>
    <xf borderId="2" fillId="0" fontId="9" numFmtId="0" xfId="0" applyBorder="1" applyFont="1"/>
    <xf borderId="2" fillId="0" fontId="9" numFmtId="0" xfId="0" applyBorder="1" applyFont="1"/>
    <xf borderId="2" fillId="0" fontId="8" numFmtId="164" xfId="0" applyBorder="1" applyFont="1" applyNumberFormat="1"/>
    <xf borderId="2" fillId="0" fontId="8" numFmtId="164" xfId="0" applyBorder="1" applyFont="1" applyNumberFormat="1"/>
    <xf borderId="2" fillId="0" fontId="8" numFmtId="10" xfId="0" applyBorder="1" applyFont="1" applyNumberFormat="1"/>
    <xf borderId="0" fillId="0" fontId="11" numFmtId="0" xfId="0" applyFont="1"/>
    <xf borderId="0" fillId="0" fontId="8" numFmtId="0" xfId="0" applyFont="1"/>
    <xf borderId="2" fillId="0" fontId="6" numFmtId="0" xfId="0" applyBorder="1" applyFont="1"/>
    <xf borderId="5" fillId="0" fontId="8" numFmtId="49" xfId="0" applyAlignment="1" applyBorder="1" applyFont="1" applyNumberFormat="1">
      <alignment horizontal="left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7" fillId="0" fontId="8" numFmtId="0" xfId="0" applyAlignment="1" applyBorder="1" applyFont="1">
      <alignment horizontal="left" shrinkToFit="0" vertical="center" wrapText="0"/>
    </xf>
    <xf borderId="8" fillId="0" fontId="8" numFmtId="0" xfId="0" applyAlignment="1" applyBorder="1" applyFont="1">
      <alignment shrinkToFit="0" vertical="center" wrapText="0"/>
    </xf>
    <xf borderId="9" fillId="0" fontId="8" numFmtId="0" xfId="0" applyAlignment="1" applyBorder="1" applyFont="1">
      <alignment shrinkToFit="0" vertical="center" wrapText="0"/>
    </xf>
    <xf borderId="10" fillId="0" fontId="8" numFmtId="0" xfId="0" applyAlignment="1" applyBorder="1" applyFont="1">
      <alignment shrinkToFit="0" vertical="center" wrapText="0"/>
    </xf>
    <xf borderId="11" fillId="0" fontId="8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shrinkToFit="0" vertical="center" wrapText="0"/>
    </xf>
    <xf borderId="13" fillId="0" fontId="8" numFmtId="0" xfId="0" applyAlignment="1" applyBorder="1" applyFont="1">
      <alignment shrinkToFit="0" vertical="center" wrapText="0"/>
    </xf>
    <xf borderId="0" fillId="0" fontId="12" numFmtId="0" xfId="0" applyAlignment="1" applyFont="1">
      <alignment horizontal="center" vertical="center"/>
    </xf>
    <xf borderId="0" fillId="0" fontId="6" numFmtId="0" xfId="0" applyFont="1"/>
    <xf borderId="2" fillId="0" fontId="8" numFmtId="0" xfId="0" applyBorder="1" applyFont="1"/>
    <xf borderId="2" fillId="0" fontId="8" numFmtId="10" xfId="0" applyBorder="1" applyFont="1" applyNumberFormat="1"/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42BA6C"/>
          <bgColor rgb="FF42BA6C"/>
        </patternFill>
      </fill>
      <border/>
    </dxf>
  </dxfs>
  <tableStyles count="4">
    <tableStyle count="2" pivot="0" name="Página2-style">
      <tableStyleElement dxfId="1" type="firstRowStripe"/>
      <tableStyleElement dxfId="2" type="secondRowStripe"/>
    </tableStyle>
    <tableStyle count="3" pivot="0" name="Página2-style 2">
      <tableStyleElement dxfId="3" type="headerRow"/>
      <tableStyleElement dxfId="1" type="firstRowStripe"/>
      <tableStyleElement dxfId="1" type="secondRowStripe"/>
    </tableStyle>
    <tableStyle count="2" pivot="0" name="Página2-style 3">
      <tableStyleElement dxfId="1" type="firstRowStripe"/>
      <tableStyleElement dxfId="2" type="secondRowStripe"/>
    </tableStyle>
    <tableStyle count="2" pivot="0" name="Página2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ubbleChart>
        <c:ser>
          <c:idx val="0"/>
          <c:order val="0"/>
          <c:tx>
            <c:strRef>
              <c:f>'Página2'!$C$69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'Página2'!$D$69</c:f>
            </c:strRef>
          </c:xVal>
          <c:yVal>
            <c:numRef>
              <c:f>'Página2'!$B$69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'Página2'!$C$70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'Página2'!$D$70</c:f>
            </c:strRef>
          </c:xVal>
          <c:yVal>
            <c:numRef>
              <c:f>'Página2'!$B$70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'Página2'!$C$71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'Página2'!$D$71</c:f>
            </c:strRef>
          </c:xVal>
          <c:yVal>
            <c:numRef>
              <c:f>'Página2'!$B$71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'Página2'!$C$72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'Página2'!$D$72</c:f>
            </c:strRef>
          </c:xVal>
          <c:yVal>
            <c:numRef>
              <c:f>'Página2'!$B$72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'Página2'!$C$73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'Página2'!$D$73</c:f>
            </c:strRef>
          </c:xVal>
          <c:yVal>
            <c:numRef>
              <c:f>'Página2'!$B$73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'Página2'!$C$74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'Página2'!$D$74</c:f>
            </c:strRef>
          </c:xVal>
          <c:yVal>
            <c:numRef>
              <c:f>'Página2'!$B$74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1605293109"/>
        <c:axId val="729978128"/>
      </c:bubbleChart>
      <c:valAx>
        <c:axId val="1605293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Soma pontuação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9978128"/>
      </c:valAx>
      <c:valAx>
        <c:axId val="729978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Market Share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529310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600075</xdr:colOff>
      <xdr:row>67</xdr:row>
      <xdr:rowOff>114300</xdr:rowOff>
    </xdr:from>
    <xdr:ext cx="13744575" cy="6896100"/>
    <xdr:graphicFrame>
      <xdr:nvGraphicFramePr>
        <xdr:cNvPr id="208428974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1809750</xdr:colOff>
      <xdr:row>82</xdr:row>
      <xdr:rowOff>123825</xdr:rowOff>
    </xdr:from>
    <xdr:ext cx="5591175" cy="2962275"/>
    <xdr:sp>
      <xdr:nvSpPr>
        <xdr:cNvPr id="3" name="Shape 3"/>
        <xdr:cNvSpPr/>
      </xdr:nvSpPr>
      <xdr:spPr>
        <a:xfrm>
          <a:off x="2555175" y="2303625"/>
          <a:ext cx="5581650" cy="2952750"/>
        </a:xfrm>
        <a:prstGeom prst="rect">
          <a:avLst/>
        </a:prstGeom>
        <a:solidFill>
          <a:srgbClr val="CFE2F3">
            <a:alpha val="31372"/>
          </a:srgbClr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Baixo Market Share e Baixa Vantagem Competitiva</a:t>
          </a:r>
          <a:endParaRPr sz="1100"/>
        </a:p>
      </xdr:txBody>
    </xdr:sp>
    <xdr:clientData fLocksWithSheet="0"/>
  </xdr:oneCellAnchor>
  <xdr:oneCellAnchor>
    <xdr:from>
      <xdr:col>4</xdr:col>
      <xdr:colOff>1809750</xdr:colOff>
      <xdr:row>69</xdr:row>
      <xdr:rowOff>76200</xdr:rowOff>
    </xdr:from>
    <xdr:ext cx="5591175" cy="2686050"/>
    <xdr:sp>
      <xdr:nvSpPr>
        <xdr:cNvPr id="4" name="Shape 4"/>
        <xdr:cNvSpPr/>
      </xdr:nvSpPr>
      <xdr:spPr>
        <a:xfrm>
          <a:off x="2555175" y="2441738"/>
          <a:ext cx="5581650" cy="2676525"/>
        </a:xfrm>
        <a:prstGeom prst="rect">
          <a:avLst/>
        </a:prstGeom>
        <a:solidFill>
          <a:srgbClr val="CCCCCC">
            <a:alpha val="48627"/>
          </a:srgbClr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Alto Market Share e baixa vantagem competitiva</a:t>
          </a:r>
          <a:endParaRPr sz="1100"/>
        </a:p>
      </xdr:txBody>
    </xdr:sp>
    <xdr:clientData fLocksWithSheet="0"/>
  </xdr:oneCellAnchor>
  <xdr:oneCellAnchor>
    <xdr:from>
      <xdr:col>6</xdr:col>
      <xdr:colOff>2724150</xdr:colOff>
      <xdr:row>69</xdr:row>
      <xdr:rowOff>76200</xdr:rowOff>
    </xdr:from>
    <xdr:ext cx="5362575" cy="2705100"/>
    <xdr:sp>
      <xdr:nvSpPr>
        <xdr:cNvPr id="5" name="Shape 5"/>
        <xdr:cNvSpPr/>
      </xdr:nvSpPr>
      <xdr:spPr>
        <a:xfrm>
          <a:off x="2669475" y="2432213"/>
          <a:ext cx="5353050" cy="2695575"/>
        </a:xfrm>
        <a:prstGeom prst="rect">
          <a:avLst/>
        </a:prstGeom>
        <a:solidFill>
          <a:srgbClr val="F4CCCC">
            <a:alpha val="41960"/>
          </a:srgbClr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Alto Marketshare e Alta Vantagem Competitiva</a:t>
          </a:r>
          <a:endParaRPr sz="1100"/>
        </a:p>
      </xdr:txBody>
    </xdr:sp>
    <xdr:clientData fLocksWithSheet="0"/>
  </xdr:oneCellAnchor>
  <xdr:oneCellAnchor>
    <xdr:from>
      <xdr:col>6</xdr:col>
      <xdr:colOff>2733675</xdr:colOff>
      <xdr:row>82</xdr:row>
      <xdr:rowOff>190500</xdr:rowOff>
    </xdr:from>
    <xdr:ext cx="5353050" cy="2952750"/>
    <xdr:sp>
      <xdr:nvSpPr>
        <xdr:cNvPr id="6" name="Shape 6"/>
        <xdr:cNvSpPr/>
      </xdr:nvSpPr>
      <xdr:spPr>
        <a:xfrm>
          <a:off x="2674238" y="2308388"/>
          <a:ext cx="5343525" cy="2943225"/>
        </a:xfrm>
        <a:prstGeom prst="rect">
          <a:avLst/>
        </a:prstGeom>
        <a:solidFill>
          <a:srgbClr val="F9CB9C">
            <a:alpha val="50980"/>
          </a:srgbClr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Baixo Marketshare e Alta vantagem competitiva</a:t>
          </a:r>
          <a:endParaRPr sz="1100"/>
        </a:p>
      </xdr:txBody>
    </xdr:sp>
    <xdr:clientData fLocksWithSheet="0"/>
  </xdr:oneCellAnchor>
  <xdr:oneCellAnchor>
    <xdr:from>
      <xdr:col>1</xdr:col>
      <xdr:colOff>152400</xdr:colOff>
      <xdr:row>0</xdr:row>
      <xdr:rowOff>152400</xdr:rowOff>
    </xdr:from>
    <xdr:ext cx="1857375" cy="10477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B35:C42" displayName="Table_1" name="Table_1" id="1">
  <tableColumns count="2">
    <tableColumn name="Column1" id="1"/>
    <tableColumn name="Column2" id="2"/>
  </tableColumns>
  <tableStyleInfo name="Página2-style" showColumnStripes="0" showFirstColumn="1" showLastColumn="1" showRowStripes="1"/>
</table>
</file>

<file path=xl/tables/table2.xml><?xml version="1.0" encoding="utf-8"?>
<table xmlns="http://schemas.openxmlformats.org/spreadsheetml/2006/main" ref="B48:K54" displayName="Table_2" name="Table_2" id="2">
  <tableColumns count="10">
    <tableColumn name="Avaliação" id="1"/>
    <tableColumn name="Posicionamento" id="2"/>
    <tableColumn name="Público e Segmento Alvo" id="3"/>
    <tableColumn name="Produtos e Serviços Oferecidos" id="4"/>
    <tableColumn name="Precificação e Monetização" id="5"/>
    <tableColumn name="Aquisição e Marketing" id="6"/>
    <tableColumn name="Força da Marca e Reputação" id="7"/>
    <tableColumn name="Tecnologias e Ferramentas" id="8"/>
    <tableColumn name="Ecossistema e Composição" id="9"/>
    <tableColumn name="Pontuação final" id="10"/>
  </tableColumns>
  <tableStyleInfo name="Página2-style 2" showColumnStripes="0" showFirstColumn="1" showLastColumn="1" showRowStripes="1"/>
</table>
</file>

<file path=xl/tables/table3.xml><?xml version="1.0" encoding="utf-8"?>
<table xmlns="http://schemas.openxmlformats.org/spreadsheetml/2006/main" headerRowCount="0" ref="B69:D74" displayName="Table_3" name="Table_3" id="3">
  <tableColumns count="3">
    <tableColumn name="Column1" id="1"/>
    <tableColumn name="Column2" id="2"/>
    <tableColumn name="Column3" id="3"/>
  </tableColumns>
  <tableStyleInfo name="Página2-style 3" showColumnStripes="0" showFirstColumn="1" showLastColumn="1" showRowStripes="1"/>
</table>
</file>

<file path=xl/tables/table4.xml><?xml version="1.0" encoding="utf-8"?>
<table xmlns="http://schemas.openxmlformats.org/spreadsheetml/2006/main" headerRowCount="0" ref="B81:D87" displayName="Table_4" name="Table_4" id="4">
  <tableColumns count="3">
    <tableColumn name="Column1" id="1"/>
    <tableColumn name="Column2" id="2"/>
    <tableColumn name="Column3" id="3"/>
  </tableColumns>
  <tableStyleInfo name="Página2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25.63"/>
    <col customWidth="1" min="3" max="3" width="34.25"/>
    <col customWidth="1" min="4" max="4" width="40.38"/>
    <col customWidth="1" min="5" max="5" width="32.0"/>
    <col customWidth="1" min="6" max="6" width="31.0"/>
    <col customWidth="1" min="7" max="7" width="37.25"/>
    <col customWidth="1" min="8" max="9" width="30.0"/>
    <col customWidth="1" min="10" max="11" width="20.38"/>
  </cols>
  <sheetData>
    <row r="1" ht="15.75" customHeight="1"/>
    <row r="2" ht="15.75" customHeight="1">
      <c r="B2" s="1" t="s">
        <v>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>
      <c r="B8" s="2" t="s">
        <v>1</v>
      </c>
      <c r="C8" s="3" t="s">
        <v>2</v>
      </c>
      <c r="D8" s="4"/>
      <c r="E8" s="4"/>
      <c r="F8" s="4"/>
      <c r="G8" s="4"/>
      <c r="H8" s="4"/>
      <c r="I8" s="4"/>
      <c r="J8" s="4"/>
      <c r="K8" s="4"/>
    </row>
    <row r="9" ht="15.75" customHeight="1"/>
    <row r="10" ht="15.75" customHeight="1"/>
    <row r="11" ht="15.75" customHeight="1"/>
    <row r="12" ht="15.75" customHeight="1"/>
    <row r="13" ht="15.75" customHeight="1">
      <c r="B13" s="5" t="s">
        <v>3</v>
      </c>
      <c r="C13" s="6" t="s">
        <v>4</v>
      </c>
    </row>
    <row r="14" ht="15.75" customHeight="1">
      <c r="B14" s="7" t="s">
        <v>5</v>
      </c>
      <c r="C14" s="8">
        <v>1.0</v>
      </c>
    </row>
    <row r="15" ht="15.75" customHeight="1">
      <c r="B15" s="7" t="s">
        <v>6</v>
      </c>
      <c r="C15" s="8">
        <v>2.0</v>
      </c>
    </row>
    <row r="16" ht="15.75" customHeight="1">
      <c r="B16" s="7" t="s">
        <v>7</v>
      </c>
      <c r="C16" s="8">
        <v>3.0</v>
      </c>
    </row>
    <row r="17" ht="15.75" customHeight="1">
      <c r="B17" s="7" t="s">
        <v>8</v>
      </c>
      <c r="C17" s="8">
        <v>4.0</v>
      </c>
    </row>
    <row r="18" ht="15.75" customHeight="1">
      <c r="B18" s="7" t="s">
        <v>9</v>
      </c>
      <c r="C18" s="8">
        <v>5.0</v>
      </c>
    </row>
    <row r="19" ht="15.75" customHeight="1">
      <c r="B19" s="7" t="s">
        <v>10</v>
      </c>
      <c r="C19" s="8">
        <v>3.0</v>
      </c>
    </row>
    <row r="20" ht="15.75" customHeight="1">
      <c r="B20" s="7" t="s">
        <v>11</v>
      </c>
      <c r="C20" s="8">
        <v>2.0</v>
      </c>
    </row>
    <row r="21" ht="15.75" customHeight="1">
      <c r="B21" s="7" t="s">
        <v>12</v>
      </c>
      <c r="C21" s="8">
        <v>1.0</v>
      </c>
    </row>
    <row r="22" ht="15.75" customHeight="1"/>
    <row r="23" ht="15.75" customHeight="1">
      <c r="B23" s="9" t="s">
        <v>13</v>
      </c>
      <c r="C23" s="10"/>
    </row>
    <row r="24" ht="15.75" customHeight="1">
      <c r="B24" s="11" t="s">
        <v>14</v>
      </c>
      <c r="C24" s="10"/>
    </row>
    <row r="25" ht="15.75" customHeight="1">
      <c r="B25" s="11" t="s">
        <v>15</v>
      </c>
      <c r="C25" s="10"/>
    </row>
    <row r="26" ht="15.75" customHeight="1">
      <c r="B26" s="11" t="s">
        <v>16</v>
      </c>
      <c r="C26" s="10"/>
    </row>
    <row r="27" ht="15.75" customHeight="1">
      <c r="B27" s="11" t="s">
        <v>17</v>
      </c>
      <c r="C27" s="10"/>
    </row>
    <row r="28" ht="15.75" customHeight="1">
      <c r="B28" s="11" t="s">
        <v>18</v>
      </c>
      <c r="C28" s="10"/>
    </row>
    <row r="29" ht="15.75" customHeight="1"/>
    <row r="30" ht="15.75" customHeight="1">
      <c r="B30" s="2" t="s">
        <v>19</v>
      </c>
      <c r="C30" s="3" t="s">
        <v>20</v>
      </c>
      <c r="D30" s="4"/>
      <c r="E30" s="4"/>
      <c r="F30" s="4"/>
      <c r="G30" s="4"/>
      <c r="H30" s="4"/>
      <c r="I30" s="4"/>
      <c r="J30" s="4"/>
      <c r="K30" s="4"/>
    </row>
    <row r="31" ht="15.75" customHeight="1"/>
    <row r="32" ht="15.75" customHeight="1"/>
    <row r="33" ht="15.75" customHeight="1"/>
    <row r="34" ht="15.75" customHeight="1">
      <c r="B34" s="12" t="s">
        <v>21</v>
      </c>
      <c r="C34" s="12" t="s">
        <v>22</v>
      </c>
      <c r="D34" s="12" t="s">
        <v>23</v>
      </c>
      <c r="E34" s="12" t="s">
        <v>24</v>
      </c>
    </row>
    <row r="35" ht="15.75" customHeight="1">
      <c r="B35" s="13" t="s">
        <v>25</v>
      </c>
      <c r="C35" s="14">
        <v>1.3E7</v>
      </c>
      <c r="D35" s="15">
        <f t="shared" ref="D35:D40" si="1">SUM($C$35:$C$40)</f>
        <v>128000000</v>
      </c>
      <c r="E35" s="16">
        <f t="shared" ref="E35:E40" si="2">C35/D35</f>
        <v>0.1015625</v>
      </c>
    </row>
    <row r="36" ht="15.75" customHeight="1">
      <c r="B36" s="13" t="s">
        <v>26</v>
      </c>
      <c r="C36" s="14">
        <v>2.0E7</v>
      </c>
      <c r="D36" s="15">
        <f t="shared" si="1"/>
        <v>128000000</v>
      </c>
      <c r="E36" s="16">
        <f t="shared" si="2"/>
        <v>0.15625</v>
      </c>
    </row>
    <row r="37" ht="15.75" customHeight="1">
      <c r="B37" s="13" t="s">
        <v>27</v>
      </c>
      <c r="C37" s="14">
        <v>1.0E7</v>
      </c>
      <c r="D37" s="15">
        <f t="shared" si="1"/>
        <v>128000000</v>
      </c>
      <c r="E37" s="16">
        <f t="shared" si="2"/>
        <v>0.078125</v>
      </c>
    </row>
    <row r="38" ht="15.75" customHeight="1">
      <c r="B38" s="13" t="s">
        <v>28</v>
      </c>
      <c r="C38" s="14">
        <v>5.5E7</v>
      </c>
      <c r="D38" s="15">
        <f t="shared" si="1"/>
        <v>128000000</v>
      </c>
      <c r="E38" s="16">
        <f t="shared" si="2"/>
        <v>0.4296875</v>
      </c>
    </row>
    <row r="39" ht="15.75" customHeight="1">
      <c r="B39" s="13" t="s">
        <v>29</v>
      </c>
      <c r="C39" s="14">
        <v>7000000.0</v>
      </c>
      <c r="D39" s="15">
        <f t="shared" si="1"/>
        <v>128000000</v>
      </c>
      <c r="E39" s="16">
        <f t="shared" si="2"/>
        <v>0.0546875</v>
      </c>
    </row>
    <row r="40" ht="15.75" customHeight="1">
      <c r="B40" s="13" t="s">
        <v>30</v>
      </c>
      <c r="C40" s="14">
        <v>2.3E7</v>
      </c>
      <c r="D40" s="15">
        <f t="shared" si="1"/>
        <v>128000000</v>
      </c>
      <c r="E40" s="16">
        <f t="shared" si="2"/>
        <v>0.1796875</v>
      </c>
    </row>
    <row r="41" ht="15.75" customHeight="1">
      <c r="B41" s="17"/>
      <c r="C41" s="17"/>
    </row>
    <row r="42" ht="15.75" customHeight="1">
      <c r="B42" s="18"/>
      <c r="C42" s="19" t="s">
        <v>31</v>
      </c>
      <c r="D42" s="6" t="s">
        <v>32</v>
      </c>
      <c r="E42" s="6" t="s">
        <v>33</v>
      </c>
    </row>
    <row r="43" ht="15.75" customHeight="1"/>
    <row r="44" ht="15.75" customHeight="1">
      <c r="B44" s="2" t="s">
        <v>34</v>
      </c>
      <c r="C44" s="3" t="s">
        <v>35</v>
      </c>
      <c r="D44" s="4"/>
      <c r="E44" s="4"/>
      <c r="F44" s="4"/>
      <c r="G44" s="4"/>
      <c r="H44" s="4"/>
      <c r="I44" s="4"/>
      <c r="J44" s="4"/>
      <c r="K44" s="4"/>
    </row>
    <row r="45" ht="15.75" customHeight="1"/>
    <row r="46" ht="15.75" customHeight="1"/>
    <row r="47" ht="15.75" customHeight="1"/>
    <row r="48" ht="15.75" customHeight="1">
      <c r="B48" s="20" t="s">
        <v>36</v>
      </c>
      <c r="C48" s="21" t="s">
        <v>5</v>
      </c>
      <c r="D48" s="21" t="s">
        <v>6</v>
      </c>
      <c r="E48" s="21" t="s">
        <v>7</v>
      </c>
      <c r="F48" s="21" t="s">
        <v>8</v>
      </c>
      <c r="G48" s="21" t="s">
        <v>9</v>
      </c>
      <c r="H48" s="21" t="s">
        <v>10</v>
      </c>
      <c r="I48" s="21" t="s">
        <v>11</v>
      </c>
      <c r="J48" s="21" t="s">
        <v>12</v>
      </c>
      <c r="K48" s="22" t="s">
        <v>37</v>
      </c>
    </row>
    <row r="49" ht="15.75" customHeight="1">
      <c r="B49" s="23" t="s">
        <v>25</v>
      </c>
      <c r="C49" s="24">
        <v>3.0</v>
      </c>
      <c r="D49" s="24">
        <v>1.0</v>
      </c>
      <c r="E49" s="24">
        <v>3.0</v>
      </c>
      <c r="F49" s="24">
        <v>3.0</v>
      </c>
      <c r="G49" s="24">
        <v>1.0</v>
      </c>
      <c r="H49" s="24">
        <v>1.0</v>
      </c>
      <c r="I49" s="24">
        <v>3.0</v>
      </c>
      <c r="J49" s="24">
        <v>3.0</v>
      </c>
      <c r="K49" s="25">
        <f t="shared" ref="K49:K54" si="3">SUM((C49*$C$14),(D49*$C$15),(E49*$C$16),(F49*$C$17),(G49*$C$18),(H49*$C$19),(I49*$C$20),(J49*$C$21))</f>
        <v>43</v>
      </c>
    </row>
    <row r="50" ht="15.75" customHeight="1">
      <c r="B50" s="23" t="s">
        <v>26</v>
      </c>
      <c r="C50" s="24">
        <v>1.0</v>
      </c>
      <c r="D50" s="24">
        <v>3.0</v>
      </c>
      <c r="E50" s="24">
        <v>1.0</v>
      </c>
      <c r="F50" s="24">
        <v>1.0</v>
      </c>
      <c r="G50" s="24">
        <v>1.0</v>
      </c>
      <c r="H50" s="24">
        <v>3.0</v>
      </c>
      <c r="I50" s="24">
        <v>5.0</v>
      </c>
      <c r="J50" s="24">
        <v>1.0</v>
      </c>
      <c r="K50" s="25">
        <f t="shared" si="3"/>
        <v>39</v>
      </c>
    </row>
    <row r="51" ht="15.75" customHeight="1">
      <c r="B51" s="23" t="s">
        <v>27</v>
      </c>
      <c r="C51" s="24">
        <v>3.0</v>
      </c>
      <c r="D51" s="24">
        <v>1.0</v>
      </c>
      <c r="E51" s="24">
        <v>1.0</v>
      </c>
      <c r="F51" s="24">
        <v>3.0</v>
      </c>
      <c r="G51" s="24">
        <v>1.0</v>
      </c>
      <c r="H51" s="24">
        <v>1.0</v>
      </c>
      <c r="I51" s="24">
        <v>1.0</v>
      </c>
      <c r="J51" s="24">
        <v>1.0</v>
      </c>
      <c r="K51" s="25">
        <f t="shared" si="3"/>
        <v>31</v>
      </c>
    </row>
    <row r="52" ht="15.75" customHeight="1">
      <c r="B52" s="23" t="s">
        <v>28</v>
      </c>
      <c r="C52" s="24">
        <v>5.0</v>
      </c>
      <c r="D52" s="24">
        <v>1.0</v>
      </c>
      <c r="E52" s="24">
        <v>1.0</v>
      </c>
      <c r="F52" s="24">
        <v>5.0</v>
      </c>
      <c r="G52" s="24">
        <v>3.0</v>
      </c>
      <c r="H52" s="24">
        <v>3.0</v>
      </c>
      <c r="I52" s="24">
        <v>5.0</v>
      </c>
      <c r="J52" s="24">
        <v>1.0</v>
      </c>
      <c r="K52" s="25">
        <f t="shared" si="3"/>
        <v>65</v>
      </c>
    </row>
    <row r="53" ht="15.75" customHeight="1">
      <c r="B53" s="23" t="s">
        <v>29</v>
      </c>
      <c r="C53" s="24">
        <v>3.0</v>
      </c>
      <c r="D53" s="24">
        <v>5.0</v>
      </c>
      <c r="E53" s="24">
        <v>5.0</v>
      </c>
      <c r="F53" s="24">
        <v>3.0</v>
      </c>
      <c r="G53" s="24">
        <v>5.0</v>
      </c>
      <c r="H53" s="24">
        <v>1.0</v>
      </c>
      <c r="I53" s="24">
        <v>5.0</v>
      </c>
      <c r="J53" s="24">
        <v>1.0</v>
      </c>
      <c r="K53" s="25">
        <f t="shared" si="3"/>
        <v>79</v>
      </c>
    </row>
    <row r="54" ht="15.75" customHeight="1">
      <c r="B54" s="26" t="s">
        <v>30</v>
      </c>
      <c r="C54" s="27">
        <v>1.0</v>
      </c>
      <c r="D54" s="27">
        <v>3.0</v>
      </c>
      <c r="E54" s="27">
        <v>1.0</v>
      </c>
      <c r="F54" s="27">
        <v>1.0</v>
      </c>
      <c r="G54" s="27">
        <v>3.0</v>
      </c>
      <c r="H54" s="27">
        <v>1.0</v>
      </c>
      <c r="I54" s="27">
        <v>5.0</v>
      </c>
      <c r="J54" s="27">
        <v>1.0</v>
      </c>
      <c r="K54" s="28">
        <f t="shared" si="3"/>
        <v>43</v>
      </c>
    </row>
    <row r="55" ht="15.75" customHeight="1"/>
    <row r="56" ht="15.75" customHeight="1">
      <c r="B56" s="9" t="s">
        <v>13</v>
      </c>
      <c r="C56" s="10"/>
    </row>
    <row r="57" ht="15.75" customHeight="1">
      <c r="B57" s="11" t="s">
        <v>38</v>
      </c>
      <c r="C57" s="10"/>
    </row>
    <row r="58" ht="15.75" customHeight="1">
      <c r="B58" s="11" t="s">
        <v>39</v>
      </c>
      <c r="C58" s="10"/>
    </row>
    <row r="59" ht="15.75" customHeight="1">
      <c r="B59" s="11" t="s">
        <v>40</v>
      </c>
      <c r="C59" s="10"/>
    </row>
    <row r="60" ht="15.75" customHeight="1"/>
    <row r="61" ht="15.75" customHeight="1"/>
    <row r="62" ht="15.75" customHeight="1"/>
    <row r="63" ht="15.75" customHeight="1"/>
    <row r="64" ht="15.75" customHeight="1">
      <c r="B64" s="2" t="s">
        <v>41</v>
      </c>
      <c r="C64" s="3" t="s">
        <v>42</v>
      </c>
      <c r="D64" s="4"/>
      <c r="E64" s="4"/>
      <c r="F64" s="4"/>
      <c r="G64" s="4"/>
      <c r="H64" s="4"/>
      <c r="I64" s="4"/>
      <c r="J64" s="4"/>
      <c r="K64" s="4"/>
    </row>
    <row r="65" ht="15.75" customHeight="1"/>
    <row r="66" ht="15.75" customHeight="1">
      <c r="B66" s="29" t="s">
        <v>43</v>
      </c>
      <c r="E66" s="29" t="s">
        <v>44</v>
      </c>
    </row>
    <row r="67" ht="15.75" customHeight="1">
      <c r="B67" s="30" t="s">
        <v>45</v>
      </c>
    </row>
    <row r="68" ht="15.75" customHeight="1">
      <c r="B68" s="8" t="s">
        <v>42</v>
      </c>
      <c r="C68" s="8" t="s">
        <v>46</v>
      </c>
      <c r="D68" s="8" t="s">
        <v>24</v>
      </c>
    </row>
    <row r="69" ht="15.75" customHeight="1">
      <c r="B69" s="31" t="s">
        <v>25</v>
      </c>
      <c r="C69" s="31">
        <f>VLOOKUP(B69,'Página2'!$B$48:$K$54,10,0)</f>
        <v>43</v>
      </c>
      <c r="D69" s="32">
        <f t="shared" ref="D69:D74" si="4">VLOOKUP(B69,$B$34:$E$40,4,0)</f>
        <v>0.1015625</v>
      </c>
    </row>
    <row r="70" ht="15.75" customHeight="1">
      <c r="B70" s="31" t="s">
        <v>26</v>
      </c>
      <c r="C70" s="31">
        <f>VLOOKUP(B70,'Página2'!$B$48:$K$54,10,0)</f>
        <v>39</v>
      </c>
      <c r="D70" s="32">
        <f t="shared" si="4"/>
        <v>0.15625</v>
      </c>
    </row>
    <row r="71" ht="15.75" customHeight="1">
      <c r="B71" s="31" t="s">
        <v>27</v>
      </c>
      <c r="C71" s="31">
        <f>VLOOKUP(B71,'Página2'!$B$48:$K$54,10,0)</f>
        <v>31</v>
      </c>
      <c r="D71" s="32">
        <f t="shared" si="4"/>
        <v>0.078125</v>
      </c>
    </row>
    <row r="72" ht="15.75" customHeight="1">
      <c r="B72" s="31" t="s">
        <v>28</v>
      </c>
      <c r="C72" s="31">
        <f>VLOOKUP(B72,'Página2'!$B$48:$K$54,10,0)</f>
        <v>65</v>
      </c>
      <c r="D72" s="32">
        <f t="shared" si="4"/>
        <v>0.4296875</v>
      </c>
    </row>
    <row r="73" ht="15.75" customHeight="1">
      <c r="B73" s="31" t="s">
        <v>29</v>
      </c>
      <c r="C73" s="31">
        <f>VLOOKUP(B73,'Página2'!$B$48:$K$54,10,0)</f>
        <v>79</v>
      </c>
      <c r="D73" s="32">
        <f t="shared" si="4"/>
        <v>0.0546875</v>
      </c>
    </row>
    <row r="74" ht="15.75" customHeight="1">
      <c r="B74" s="31" t="s">
        <v>30</v>
      </c>
      <c r="C74" s="31">
        <f>VLOOKUP(B74,'Página2'!$B$48:$K$54,10,0)</f>
        <v>43</v>
      </c>
      <c r="D74" s="32">
        <f t="shared" si="4"/>
        <v>0.1796875</v>
      </c>
    </row>
    <row r="75" ht="15.75" customHeight="1"/>
    <row r="76" ht="15.75" customHeight="1">
      <c r="B76" s="33"/>
      <c r="C76" s="33"/>
      <c r="D76" s="33"/>
    </row>
    <row r="77" ht="15.75" customHeight="1">
      <c r="B77" s="33"/>
      <c r="C77" s="33"/>
      <c r="D77" s="33"/>
    </row>
    <row r="78" ht="15.75" customHeight="1">
      <c r="B78" s="33"/>
      <c r="C78" s="33"/>
      <c r="D78" s="33"/>
    </row>
    <row r="79" ht="15.75" customHeight="1">
      <c r="B79" s="33"/>
      <c r="C79" s="33"/>
      <c r="D79" s="33"/>
    </row>
    <row r="80" ht="15.75" customHeight="1">
      <c r="B80" s="33"/>
      <c r="C80" s="33"/>
      <c r="D80" s="33"/>
    </row>
    <row r="81" ht="15.75" customHeight="1">
      <c r="B81" s="18"/>
      <c r="C81" s="18"/>
      <c r="D81" s="18"/>
    </row>
    <row r="82" ht="15.75" customHeight="1">
      <c r="B82" s="18"/>
      <c r="C82" s="18"/>
      <c r="D82" s="18"/>
    </row>
    <row r="83" ht="15.75" customHeight="1">
      <c r="B83" s="18"/>
      <c r="C83" s="18"/>
      <c r="D83" s="18"/>
    </row>
    <row r="84" ht="15.75" customHeight="1">
      <c r="B84" s="18"/>
      <c r="C84" s="18"/>
      <c r="D84" s="18"/>
    </row>
    <row r="85" ht="15.75" customHeight="1">
      <c r="B85" s="18"/>
      <c r="C85" s="18"/>
      <c r="D85" s="18"/>
    </row>
    <row r="86" ht="15.75" customHeight="1">
      <c r="B86" s="18"/>
      <c r="C86" s="18"/>
      <c r="D86" s="18"/>
    </row>
    <row r="87" ht="15.75" customHeight="1">
      <c r="B87" s="18"/>
      <c r="C87" s="18"/>
      <c r="D87" s="18"/>
    </row>
    <row r="88" ht="15.75" customHeight="1">
      <c r="B88" s="33"/>
      <c r="C88" s="33"/>
      <c r="D88" s="33"/>
    </row>
    <row r="89" ht="15.75" customHeight="1">
      <c r="B89" s="33"/>
      <c r="C89" s="33"/>
      <c r="D89" s="33"/>
    </row>
    <row r="90" ht="15.75" customHeight="1">
      <c r="B90" s="33"/>
      <c r="C90" s="33"/>
      <c r="D90" s="33"/>
    </row>
    <row r="91" ht="15.75" customHeight="1">
      <c r="B91" s="33"/>
      <c r="C91" s="33"/>
      <c r="D91" s="33"/>
    </row>
    <row r="92" ht="15.75" customHeight="1">
      <c r="B92" s="33"/>
      <c r="C92" s="33"/>
      <c r="D92" s="33"/>
    </row>
    <row r="93" ht="15.75" customHeight="1">
      <c r="B93" s="33"/>
      <c r="C93" s="33"/>
      <c r="D93" s="33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K5"/>
    <mergeCell ref="C8:K8"/>
    <mergeCell ref="B23:C23"/>
    <mergeCell ref="B24:C24"/>
    <mergeCell ref="B25:C25"/>
    <mergeCell ref="B26:C26"/>
    <mergeCell ref="B27:C27"/>
    <mergeCell ref="C64:K64"/>
    <mergeCell ref="B66:D66"/>
    <mergeCell ref="E66:I66"/>
    <mergeCell ref="B28:C28"/>
    <mergeCell ref="C30:K30"/>
    <mergeCell ref="C44:K44"/>
    <mergeCell ref="B56:C56"/>
    <mergeCell ref="B57:C57"/>
    <mergeCell ref="B58:C58"/>
    <mergeCell ref="B59:C59"/>
  </mergeCells>
  <dataValidations>
    <dataValidation type="list" allowBlank="1" showInputMessage="1" showErrorMessage="1" prompt="Selecione o peso conforme legenda" sqref="C14">
      <formula1>"1,2,3,4,5"</formula1>
    </dataValidation>
    <dataValidation type="list" allowBlank="1" showErrorMessage="1" sqref="C15:C21">
      <formula1>"1,2,3,4,5"</formula1>
    </dataValidation>
    <dataValidation type="list" allowBlank="1" showInputMessage="1" showErrorMessage="1" prompt="Ao selecionar a avaliação, lembrar que: 1 - Análise Inferior ao meu negócio. 3 - Análise equivalente ao meu negógio. 5 - Análise superior ao meu negócio" sqref="C49:G54 J49:J54">
      <formula1>"1,3,5"</formula1>
    </dataValidation>
    <dataValidation type="list" allowBlank="1" sqref="H49:I54">
      <formula1>"1,3,5"</formula1>
    </dataValidation>
  </dataValidations>
  <drawing r:id="rId1"/>
  <tableParts count="4">
    <tablePart r:id="rId6"/>
    <tablePart r:id="rId7"/>
    <tablePart r:id="rId8"/>
    <tablePart r:id="rId9"/>
  </tableParts>
</worksheet>
</file>